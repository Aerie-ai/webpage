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973c90e7c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 Calculator" sheetId="1" r:id="R3c8abaa216624454"/>
    <x:sheet xmlns:r="http://schemas.openxmlformats.org/officeDocument/2006/relationships" name="Read Me" sheetId="2" r:id="Ra9e682b05275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0%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75985"/>
      <x:name val="Carlito"/>
    </x:font>
    <x:font>
      <x:b/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F42"/>
      </x:patternFill>
    </x:fill>
    <x:fill>
      <x:patternFill patternType="solid">
        <x:fgColor rgb="FF22665C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0a7e787624b96" /><Relationship Type="http://schemas.openxmlformats.org/officeDocument/2006/relationships/theme" Target="/xl/theme/theme1.xml" Id="R569a01ec5f1d42b6" /><Relationship Type="http://schemas.openxmlformats.org/officeDocument/2006/relationships/sharedStrings" Target="/xl/sharedStrings.xml" Id="R36f81d57981e4dbf" /><Relationship Type="http://schemas.openxmlformats.org/officeDocument/2006/relationships/worksheet" Target="/xl/worksheets/sheet1.xml" Id="R3c8abaa216624454" /><Relationship Type="http://schemas.openxmlformats.org/officeDocument/2006/relationships/worksheet" Target="/xl/worksheets/sheet2.xml" Id="Ra9e682b05275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1" hidden="0" customWidth="1"/>
    <x:col min="3" max="3" width="5" hidden="0" customWidth="1"/>
    <x:col min="4" max="4" width="28" hidden="0" customWidth="1"/>
    <x:col min="5" max="5" width="18" hidden="0" customWidth="1"/>
    <x:col min="6" max="6" width="5" hidden="0" customWidth="1"/>
  </x:cols>
  <x:sheetData>
    <x:row r="1" ht="32" customHeight="1">
      <x:c r="A1" s="3" t="str">
        <x:v>JOB QUOTE &amp; PROFIT CALCULATOR</x:v>
      </x:c>
      <x:c r="B1" s="3"/>
      <x:c r="C1" s="3"/>
      <x:c r="D1" s="3"/>
      <x:c r="E1" s="3"/>
      <x:c r="F1" s="3"/>
    </x:row>
    <x:row r="3">
      <x:c r="A3" s="9" t="str">
        <x:v>INPUTS</x:v>
      </x:c>
      <x:c r="B3" s="9" t="str">
        <x:v>Value</x:v>
      </x:c>
      <x:c r="D3" s="9" t="str">
        <x:v>QUOTE SUMMARY</x:v>
      </x:c>
      <x:c r="E3" s="9" t="str">
        <x:v>EUR</x:v>
      </x:c>
    </x:row>
    <x:row r="4">
      <x:c r="A4" t="str">
        <x:v>Labour hours</x:v>
      </x:c>
      <x:c r="B4" s="24" t="n">
        <x:v>16</x:v>
      </x:c>
      <x:c r="D4" t="str">
        <x:v>Labour</x:v>
      </x:c>
      <x:c r="E4" s="16" t="n">
        <x:f>B4*B5</x:f>
        <x:v>560</x:v>
      </x:c>
    </x:row>
    <x:row r="5">
      <x:c r="A5" t="str">
        <x:v>Hourly labour rate (€)</x:v>
      </x:c>
      <x:c r="B5" s="26" t="n">
        <x:v>35</x:v>
      </x:c>
      <x:c r="D5" t="str">
        <x:v>Direct costs</x:v>
      </x:c>
      <x:c r="E5" s="16" t="n">
        <x:f>B6+B7</x:f>
        <x:v>290</x:v>
      </x:c>
    </x:row>
    <x:row r="6">
      <x:c r="A6" t="str">
        <x:v>Materials cost (€)</x:v>
      </x:c>
      <x:c r="B6" s="26" t="n">
        <x:v>240</x:v>
      </x:c>
      <x:c r="D6" t="str">
        <x:v>Overhead allowance</x:v>
      </x:c>
      <x:c r="E6" s="16" t="n">
        <x:f>(E4+E5)*B8</x:f>
        <x:v>85</x:v>
      </x:c>
    </x:row>
    <x:row r="7">
      <x:c r="A7" t="str">
        <x:v>Other direct costs (€)</x:v>
      </x:c>
      <x:c r="B7" s="26" t="n">
        <x:v>50</x:v>
      </x:c>
      <x:c r="D7" t="str">
        <x:v>Estimated job cost</x:v>
      </x:c>
      <x:c r="E7" s="16" t="n">
        <x:f>E4+E5+E6</x:f>
        <x:v>935</x:v>
      </x:c>
    </x:row>
    <x:row r="8">
      <x:c r="A8" t="str">
        <x:v>Overhead allowance (%)</x:v>
      </x:c>
      <x:c r="B8" s="18" t="n">
        <x:v>0.1</x:v>
      </x:c>
      <x:c r="D8" t="str">
        <x:v>Suggested price ex VAT</x:v>
      </x:c>
      <x:c r="E8" s="16" t="n">
        <x:f>E7*(1+B9)</x:f>
        <x:v>1168.75</x:v>
      </x:c>
    </x:row>
    <x:row r="9">
      <x:c r="A9" t="str">
        <x:v>Target markup (%)</x:v>
      </x:c>
      <x:c r="B9" s="18" t="n">
        <x:v>0.25</x:v>
      </x:c>
      <x:c r="D9" t="str">
        <x:v>VAT on suggested price</x:v>
      </x:c>
      <x:c r="E9" s="16" t="n">
        <x:f>E8*B10</x:f>
        <x:v>0</x:v>
      </x:c>
    </x:row>
    <x:row r="10">
      <x:c r="A10" t="str">
        <x:v>Tax / VAT rate (%)</x:v>
      </x:c>
      <x:c r="B10" s="18" t="n">
        <x:v>0</x:v>
      </x:c>
      <x:c r="D10" t="str">
        <x:v>Suggested price incl VAT</x:v>
      </x:c>
      <x:c r="E10" s="16" t="n">
        <x:f>E8+E9</x:f>
        <x:v>1168.75</x:v>
      </x:c>
    </x:row>
    <x:row r="11">
      <x:c r="D11" t="str">
        <x:v>Estimated gross profit</x:v>
      </x:c>
      <x:c r="E11" s="21" t="n">
        <x:f>E8-E7</x:f>
        <x:v>233.75</x:v>
      </x:c>
    </x:row>
    <x:row r="13" ht="44" customHeight="1">
      <x:c r="A13" s="6" t="str">
        <x:v>Instructions: change blue input cells B4:B10. VAT is a user input, not tax advice. Markup is on estimated cost, not gross margin.</x:v>
      </x:c>
      <x:c r="B13" s="6"/>
      <x:c r="C13" s="6"/>
      <x:c r="D13" s="6"/>
      <x:c r="E13" s="6"/>
      <x:c r="F13" s="6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8" t="str">
        <x:v>QUICK START</x:v>
      </x:c>
    </x:row>
    <x:row r="2">
      <x:c r="A2" t="str">
        <x:v>1. Go to Quote Calculator and edit blue cells only.</x:v>
      </x:c>
    </x:row>
    <x:row r="3">
      <x:c r="A3" t="str">
        <x:v>2. Enter realistic labour hours and hourly rate.</x:v>
      </x:c>
    </x:row>
    <x:row r="4">
      <x:c r="A4" t="str">
        <x:v>3. Enter materials and all other direct job costs.</x:v>
      </x:c>
    </x:row>
    <x:row r="5">
      <x:c r="A5" t="str">
        <x:v>4. Set an overhead allowance and your preferred markup.</x:v>
      </x:c>
    </x:row>
    <x:row r="6">
      <x:c r="A6" t="str">
        <x:v>5. Set tax/VAT only if applicable; verify your obligations independently.</x:v>
      </x:c>
    </x:row>
    <x:row r="7">
      <x:c r="A7" t="str">
        <x:v>6. Check the calculated quote and profit before sending to a customer.</x:v>
      </x:c>
    </x:row>
    <x:row r="8">
      <x:c r="A8" t="str">
        <x:v>7. This workbook does not generate invoices or establish tax compliance.</x:v>
      </x:c>
    </x:row>
    <x:row r="9">
      <x:c r="A9" t="str">
        <x:v>8. This is an unvalidated demonstration product; test before commercial sale.</x:v>
      </x:c>
    </x:row>
  </x:sheetData>
  <x:pageMargins left="0.7" right="0.7" top="0.75" bottom="0.75" header="0.3" footer="0.3"/>
</x:worksheet>
</file>